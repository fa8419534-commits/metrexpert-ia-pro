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verture" state="visible" r:id="rId4"/>
    <sheet sheetId="2" name="Hypothèses" state="visible" r:id="rId5"/>
    <sheet sheetId="3" name="Contrôles" state="visible" r:id="rId6"/>
    <sheet sheetId="4" name="Métré" state="visible" r:id="rId7"/>
    <sheet sheetId="5" name="DQE" state="visible" r:id="rId8"/>
  </sheets>
  <calcPr calcId="171027" fullCalcOnLoad="1"/>
</workbook>
</file>

<file path=xl/sharedStrings.xml><?xml version="1.0" encoding="utf-8"?>
<sst xmlns="http://schemas.openxmlformats.org/spreadsheetml/2006/main" count="104" uniqueCount="78">
  <si>
    <t>MÉTREXPERT IA PRO</t>
  </si>
  <si>
    <t>MÉTRÉ • QUANTITATIF • DQE</t>
  </si>
  <si>
    <t>DOCUMENT DE TRAVAIL — COUVERTURE</t>
  </si>
  <si>
    <t>Référence</t>
  </si>
  <si>
    <t>MXP-2026-132912</t>
  </si>
  <si>
    <t>Émission</t>
  </si>
  <si>
    <t>27/08/2026</t>
  </si>
  <si>
    <t>Version</t>
  </si>
  <si>
    <t>V1</t>
  </si>
  <si>
    <t>Devise</t>
  </si>
  <si>
    <t>FCFA</t>
  </si>
  <si>
    <t>IDENTITÉ DU PROJET</t>
  </si>
  <si>
    <t>Nom du projet</t>
  </si>
  <si>
    <t>Test insertion signature et tampon</t>
  </si>
  <si>
    <t>Localisation</t>
  </si>
  <si>
    <t>Yopougon — test interne</t>
  </si>
  <si>
    <t>INFORMATIONS CLIENT</t>
  </si>
  <si>
    <t>Nom</t>
  </si>
  <si>
    <t>À compléter</t>
  </si>
  <si>
    <t>Téléphone</t>
  </si>
  <si>
    <t>E-mail</t>
  </si>
  <si>
    <t>Statut</t>
  </si>
  <si>
    <t>À confirmer</t>
  </si>
  <si>
    <t>RÉSUMÉ FINANCIER</t>
  </si>
  <si>
    <t>TOTAL GÉNÉRAL</t>
  </si>
  <si>
    <t>Voir feuille DQE</t>
  </si>
  <si>
    <t>Contrôle</t>
  </si>
  <si>
    <t>Requis avant usage contractuel</t>
  </si>
  <si>
    <t>Postes</t>
  </si>
  <si>
    <t>1</t>
  </si>
  <si>
    <t>PRESTATAIRE</t>
  </si>
  <si>
    <t>Structure</t>
  </si>
  <si>
    <t>MÉTREXPERT IA PRO — préparé par Daouda</t>
  </si>
  <si>
    <t>07 67 15 93 51</t>
  </si>
  <si>
    <t>dawoud.digitallab@gmail.com</t>
  </si>
  <si>
    <t>WhatsApp</t>
  </si>
  <si>
    <t>01 51 61 05 12</t>
  </si>
  <si>
    <t>Vérifié par</t>
  </si>
  <si>
    <t>Test interne</t>
  </si>
  <si>
    <t>Date de validation</t>
  </si>
  <si>
    <t>SIGNATURE NUMÉRIQUE / TAMPON D’ENTREPRISE</t>
  </si>
  <si>
    <t>Signature numérique</t>
  </si>
  <si>
    <t>Tampon d’entreprise</t>
  </si>
  <si>
    <t>Nom du signataire</t>
  </si>
  <si>
    <t>Référence du tampon</t>
  </si>
  <si>
    <t>MENTIONS, HYPOTHÈSES ET AVERTISSEMENT</t>
  </si>
  <si>
    <t>Généré à partir des éléments fournis. Vérifier les hypothèses, unités et prix avant usage contractuel.</t>
  </si>
  <si>
    <t>Les informations absentes sont indiquées « À compléter ». Ce document est une base de travail assistée par IA : vérifier données d’entrée, hypothèses, unités, prix, quantités et périmètre des lots avant toute utilisation contractuelle.</t>
  </si>
  <si>
    <t>N°</t>
  </si>
  <si>
    <t>HYPOTHÈSE / DONNÉE À CONFIRMER</t>
  </si>
  <si>
    <t>STATUT</t>
  </si>
  <si>
    <t>Les quantités et prix sont calculés à partir des informations fournies dans la description et/ou le document joint.</t>
  </si>
  <si>
    <t>À CONFIRMER</t>
  </si>
  <si>
    <t>Toute donnée absente, ambiguë ou estimée doit être confirmée par un professionnel avant usage contractuel.</t>
  </si>
  <si>
    <t>01 — Coefficient non fourni : coefficient 1 appliqué par défaut.</t>
  </si>
  <si>
    <t>Code</t>
  </si>
  <si>
    <t>Poste</t>
  </si>
  <si>
    <t>Règle</t>
  </si>
  <si>
    <t>Constat</t>
  </si>
  <si>
    <t>Recommandation</t>
  </si>
  <si>
    <t>01</t>
  </si>
  <si>
    <t>Béton de test</t>
  </si>
  <si>
    <t>OK</t>
  </si>
  <si>
    <t>Contrôles numériques de base</t>
  </si>
  <si>
    <t>quantité=2 m³, coefficient=1, prix=85000</t>
  </si>
  <si>
    <t>Ajouter une note source ou une hypothèse si le calcul dépend d’une interprétation.</t>
  </si>
  <si>
    <t>Désignation</t>
  </si>
  <si>
    <t>Unité</t>
  </si>
  <si>
    <t>Quantité de base</t>
  </si>
  <si>
    <t>Coefficient</t>
  </si>
  <si>
    <t>Quantité calculée</t>
  </si>
  <si>
    <t>Observations</t>
  </si>
  <si>
    <t>m³</t>
  </si>
  <si>
    <t/>
  </si>
  <si>
    <t>Quantité</t>
  </si>
  <si>
    <t>Prix unitaire (FCFA)</t>
  </si>
  <si>
    <t>Montant (FCFA)</t>
  </si>
  <si>
    <t>TOTAL ESTIMATIF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</si>
</sst>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9A15A"/>
      <sz val="20"/>
      <name val="Aptos Display"/>
    </font>
    <font>
      <i/>
      <color rgb="FFEDEAE2"/>
      <sz val="10"/>
      <name val="Aptos"/>
    </font>
    <font>
      <b/>
      <color rgb="FF0F1613"/>
      <sz val="10"/>
      <name val="Aptos"/>
    </font>
    <font>
      <b/>
      <color rgb="FFC9A15A"/>
      <sz val="10"/>
      <name val="Aptos"/>
    </font>
    <font>
      <color rgb="FF0F1613"/>
      <sz val="10"/>
      <name val="Aptos"/>
    </font>
    <font>
      <b/>
      <color rgb="FFC9A15A"/>
      <sz val="13"/>
      <name val="Aptos Display"/>
    </font>
    <font>
      <b/>
      <color rgb="FF0F1613"/>
      <sz val="18"/>
      <name val="Aptos Display"/>
    </font>
    <font>
      <i/>
      <color rgb="FFEDEAE2"/>
      <sz val="9"/>
      <name val="Aptos"/>
    </font>
    <font>
      <b/>
      <color rgb="FF7C9A76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613"/>
      </patternFill>
    </fill>
    <fill>
      <patternFill patternType="solid">
        <fgColor rgb="FFC9A15A"/>
      </patternFill>
    </fill>
    <fill>
      <patternFill patternType="solid">
        <fgColor rgb="FF16201C"/>
      </patternFill>
    </fill>
    <fill>
      <patternFill patternType="solid">
        <fgColor rgb="FFF5F3ED"/>
      </patternFill>
    </fill>
    <fill>
      <patternFill patternType="solid">
        <fgColor rgb="FFF7F6F1"/>
      </patternFill>
    </fill>
  </fills>
  <borders count="3">
    <border>
      <left/>
      <right/>
      <top/>
      <bottom/>
      <diagonal/>
    </border>
    <border>
      <left style="thin">
        <color rgb="FF3A4A42"/>
      </left>
      <right style="thin">
        <color rgb="FF3A4A42"/>
      </right>
      <top style="thin">
        <color rgb="FF3A4A42"/>
      </top>
      <bottom style="thin">
        <color rgb="FF3A4A42"/>
      </bottom>
      <diagonal/>
    </border>
    <border>
      <left style="thin">
        <color rgb="FFC9A15A"/>
      </left>
      <right style="thin">
        <color rgb="FFC9A15A"/>
      </right>
      <top style="thin">
        <color rgb="FFC9A15A"/>
      </top>
      <bottom style="thin">
        <color rgb="FFC9A15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4" fontId="0" fillId="0" borderId="0" xfId="0" applyNumberFormat="1"/>
    <xf numFmtId="4" fontId="4" fillId="2" borderId="2" xfId="0" applyNumberFormat="1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left" vertical="center" wrapText="1"/>
    </xf>
    <xf numFmtId="3" fontId="0" fillId="0" borderId="0" xfId="0" applyNumberFormat="1"/>
    <xf numFmtId="3" fontId="4" fillId="2" borderId="2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left" vertical="center" wrapText="1"/>
    </xf>
    <xf numFmtId="4" fontId="3" fillId="3" borderId="2" xfId="0" applyNumberFormat="1" applyFont="1" applyFill="1" applyBorder="1" applyAlignment="1">
      <alignment horizontal="left" vertical="center" wrapText="1"/>
    </xf>
    <xf numFmtId="3" fontId="3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0</xdr:colOff>
      <xdr:row>24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</cols>
  <sheetData>
    <row r="1" ht="2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3"/>
      <c r="D3" s="3"/>
    </row>
    <row r="4" ht="22" customHeight="1" spans="1:4" x14ac:dyDescent="0.25">
      <c r="A4" s="4" t="s">
        <v>3</v>
      </c>
      <c r="B4" s="5" t="s">
        <v>4</v>
      </c>
      <c r="C4" s="4" t="s">
        <v>5</v>
      </c>
      <c r="D4" s="5" t="s">
        <v>6</v>
      </c>
    </row>
    <row r="5" ht="22" customHeight="1" spans="1:4" x14ac:dyDescent="0.25">
      <c r="A5" s="4" t="s">
        <v>7</v>
      </c>
      <c r="B5" s="5" t="s">
        <v>8</v>
      </c>
      <c r="C5" s="4" t="s">
        <v>9</v>
      </c>
      <c r="D5" s="5" t="s">
        <v>10</v>
      </c>
    </row>
    <row r="6" ht="6" customHeight="1" x14ac:dyDescent="0.25"/>
    <row r="7" ht="22" customHeight="1" spans="1:4" x14ac:dyDescent="0.25">
      <c r="A7" s="3" t="s">
        <v>11</v>
      </c>
      <c r="B7" s="3"/>
      <c r="C7" s="3"/>
      <c r="D7" s="3"/>
    </row>
    <row r="8" ht="30" customHeight="1" spans="1:4" x14ac:dyDescent="0.25">
      <c r="A8" s="4" t="s">
        <v>12</v>
      </c>
      <c r="B8" s="5" t="s">
        <v>13</v>
      </c>
      <c r="C8" s="4" t="s">
        <v>14</v>
      </c>
      <c r="D8" s="5" t="s">
        <v>15</v>
      </c>
    </row>
    <row r="9" ht="6" customHeight="1" x14ac:dyDescent="0.25"/>
    <row r="10" ht="22" customHeight="1" spans="1:4" x14ac:dyDescent="0.25">
      <c r="A10" s="3" t="s">
        <v>16</v>
      </c>
      <c r="B10" s="3"/>
      <c r="C10" s="3"/>
      <c r="D10" s="3"/>
    </row>
    <row r="11" ht="30" customHeight="1" spans="1:4" x14ac:dyDescent="0.25">
      <c r="A11" s="4" t="s">
        <v>17</v>
      </c>
      <c r="B11" s="5" t="s">
        <v>18</v>
      </c>
      <c r="C11" s="4" t="s">
        <v>19</v>
      </c>
      <c r="D11" s="5" t="s">
        <v>18</v>
      </c>
    </row>
    <row r="12" ht="30" customHeight="1" spans="1:4" x14ac:dyDescent="0.25">
      <c r="A12" s="4" t="s">
        <v>20</v>
      </c>
      <c r="B12" s="5" t="s">
        <v>18</v>
      </c>
      <c r="C12" s="4" t="s">
        <v>21</v>
      </c>
      <c r="D12" s="5" t="s">
        <v>22</v>
      </c>
    </row>
    <row r="13" ht="6" customHeight="1" x14ac:dyDescent="0.25"/>
    <row r="14" ht="22" customHeight="1" spans="1:4" x14ac:dyDescent="0.25">
      <c r="A14" s="3" t="s">
        <v>23</v>
      </c>
      <c r="B14" s="3"/>
      <c r="C14" s="3"/>
      <c r="D14" s="3"/>
    </row>
    <row r="15" ht="22" customHeight="1" spans="1:4" x14ac:dyDescent="0.25">
      <c r="A15" s="6" t="s">
        <v>24</v>
      </c>
      <c r="B15" s="7">
        <f>'DQE'!F3</f>
        <v>170000</v>
      </c>
      <c r="C15" s="8" t="s">
        <v>10</v>
      </c>
      <c r="D15" s="2" t="s">
        <v>25</v>
      </c>
    </row>
    <row r="16" ht="22" customHeight="1" spans="1:4" x14ac:dyDescent="0.25">
      <c r="A16" s="4" t="s">
        <v>26</v>
      </c>
      <c r="B16" s="5" t="s">
        <v>27</v>
      </c>
      <c r="C16" s="4" t="s">
        <v>28</v>
      </c>
      <c r="D16" s="5" t="s">
        <v>29</v>
      </c>
    </row>
    <row r="17" ht="6" customHeight="1" x14ac:dyDescent="0.25"/>
    <row r="18" ht="22" customHeight="1" spans="1:4" x14ac:dyDescent="0.25">
      <c r="A18" s="3" t="s">
        <v>30</v>
      </c>
      <c r="B18" s="3"/>
      <c r="C18" s="3"/>
      <c r="D18" s="3"/>
    </row>
    <row r="19" ht="30" customHeight="1" spans="1:4" x14ac:dyDescent="0.25">
      <c r="A19" s="4" t="s">
        <v>31</v>
      </c>
      <c r="B19" s="5" t="s">
        <v>32</v>
      </c>
      <c r="C19" s="4" t="s">
        <v>19</v>
      </c>
      <c r="D19" s="5" t="s">
        <v>33</v>
      </c>
    </row>
    <row r="20" ht="30" customHeight="1" spans="1:4" x14ac:dyDescent="0.25">
      <c r="A20" s="4" t="s">
        <v>20</v>
      </c>
      <c r="B20" s="5" t="s">
        <v>34</v>
      </c>
      <c r="C20" s="4" t="s">
        <v>35</v>
      </c>
      <c r="D20" s="5" t="s">
        <v>36</v>
      </c>
    </row>
    <row r="21" ht="30" customHeight="1" spans="1:4" x14ac:dyDescent="0.25">
      <c r="A21" s="4" t="s">
        <v>37</v>
      </c>
      <c r="B21" s="5" t="s">
        <v>38</v>
      </c>
      <c r="C21" s="4" t="s">
        <v>39</v>
      </c>
      <c r="D21" s="5" t="s">
        <v>6</v>
      </c>
    </row>
    <row r="22" ht="22" customHeight="1" spans="1:4" x14ac:dyDescent="0.25">
      <c r="A22" s="3" t="s">
        <v>40</v>
      </c>
      <c r="B22" s="3"/>
      <c r="C22" s="3"/>
      <c r="D22" s="3"/>
    </row>
    <row r="23" ht="30" customHeight="1" spans="1:4" x14ac:dyDescent="0.25">
      <c r="A23" s="4" t="s">
        <v>41</v>
      </c>
      <c r="B23" s="5" t="s">
        <v>18</v>
      </c>
      <c r="C23" s="4" t="s">
        <v>42</v>
      </c>
      <c r="D23" s="5" t="s">
        <v>18</v>
      </c>
    </row>
    <row r="24" ht="30" customHeight="1" spans="1:4" x14ac:dyDescent="0.25">
      <c r="A24" s="4" t="s">
        <v>43</v>
      </c>
      <c r="B24" s="5" t="s">
        <v>18</v>
      </c>
      <c r="C24" s="4" t="s">
        <v>44</v>
      </c>
      <c r="D24" s="5" t="s">
        <v>18</v>
      </c>
    </row>
    <row r="25" ht="22" customHeight="1" spans="1:4" x14ac:dyDescent="0.25">
      <c r="A25" s="3" t="s">
        <v>45</v>
      </c>
      <c r="B25" s="3"/>
      <c r="C25" s="3"/>
      <c r="D25" s="3"/>
    </row>
    <row r="26" ht="34" customHeight="1" spans="1:4" x14ac:dyDescent="0.25">
      <c r="A26" s="5" t="s">
        <v>46</v>
      </c>
      <c r="B26" s="5"/>
      <c r="C26" s="5"/>
      <c r="D26" s="5"/>
    </row>
    <row r="27" ht="44" customHeight="1" spans="1:4" x14ac:dyDescent="0.25">
      <c r="A27" s="9" t="s">
        <v>47</v>
      </c>
      <c r="B27" s="9"/>
      <c r="C27" s="9"/>
      <c r="D27" s="9"/>
    </row>
  </sheetData>
  <mergeCells count="11">
    <mergeCell ref="A1:D1"/>
    <mergeCell ref="A2:D2"/>
    <mergeCell ref="A3:D3"/>
    <mergeCell ref="A7:D7"/>
    <mergeCell ref="A10:D10"/>
    <mergeCell ref="A14:D14"/>
    <mergeCell ref="A18:D18"/>
    <mergeCell ref="A22:D22"/>
    <mergeCell ref="A25:D25"/>
    <mergeCell ref="A26:D26"/>
    <mergeCell ref="A27:D27"/>
  </mergeCells>
  <pageMargins left="0.25" right="0.25" top="0.35" bottom="0.35" header="0.1" footer="0.1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5" customWidth="1"/>
    <col min="3" max="3" width="18" customWidth="1"/>
  </cols>
  <sheetData>
    <row r="1" spans="1:3" x14ac:dyDescent="0.25">
      <c r="A1" s="10" t="s">
        <v>48</v>
      </c>
      <c r="B1" s="10" t="s">
        <v>49</v>
      </c>
      <c r="C1" s="10" t="s">
        <v>50</v>
      </c>
    </row>
    <row r="2" spans="1:3" x14ac:dyDescent="0.25">
      <c r="A2" s="11">
        <v>1</v>
      </c>
      <c r="B2" s="11" t="s">
        <v>51</v>
      </c>
      <c r="C2" s="11" t="s">
        <v>52</v>
      </c>
    </row>
    <row r="3" spans="1:3" x14ac:dyDescent="0.25">
      <c r="A3" s="11">
        <v>2</v>
      </c>
      <c r="B3" s="11" t="s">
        <v>53</v>
      </c>
      <c r="C3" s="11" t="s">
        <v>52</v>
      </c>
    </row>
    <row r="4" spans="1:3" x14ac:dyDescent="0.25">
      <c r="A4" s="11">
        <v>3</v>
      </c>
      <c r="B4" s="11" t="s">
        <v>54</v>
      </c>
      <c r="C4" s="1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6" customWidth="1"/>
    <col min="4" max="4" width="36" customWidth="1"/>
    <col min="5" max="5" width="38" customWidth="1"/>
    <col min="6" max="6" width="62" customWidth="1"/>
  </cols>
  <sheetData>
    <row r="1" spans="1:6" x14ac:dyDescent="0.25">
      <c r="A1" s="10" t="s">
        <v>55</v>
      </c>
      <c r="B1" s="10" t="s">
        <v>56</v>
      </c>
      <c r="C1" s="10" t="s">
        <v>21</v>
      </c>
      <c r="D1" s="10" t="s">
        <v>57</v>
      </c>
      <c r="E1" s="10" t="s">
        <v>58</v>
      </c>
      <c r="F1" s="10" t="s">
        <v>59</v>
      </c>
    </row>
    <row r="2" spans="1:6" x14ac:dyDescent="0.25">
      <c r="A2" s="11" t="s">
        <v>60</v>
      </c>
      <c r="B2" s="11" t="s">
        <v>61</v>
      </c>
      <c r="C2" s="12" t="s">
        <v>62</v>
      </c>
      <c r="D2" s="11" t="s">
        <v>63</v>
      </c>
      <c r="E2" s="11" t="s">
        <v>64</v>
      </c>
      <c r="F2" s="11" t="s">
        <v>65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2" customWidth="1"/>
    <col min="4" max="4" width="18" style="13" customWidth="1"/>
    <col min="5" max="5" width="14" style="13" customWidth="1"/>
    <col min="6" max="6" width="20" style="13" customWidth="1"/>
    <col min="7" max="7" width="52" customWidth="1"/>
  </cols>
  <sheetData>
    <row r="1" spans="1:7" x14ac:dyDescent="0.25">
      <c r="A1" s="10" t="s">
        <v>55</v>
      </c>
      <c r="B1" s="10" t="s">
        <v>66</v>
      </c>
      <c r="C1" s="10" t="s">
        <v>67</v>
      </c>
      <c r="D1" s="14" t="s">
        <v>68</v>
      </c>
      <c r="E1" s="14" t="s">
        <v>69</v>
      </c>
      <c r="F1" s="14" t="s">
        <v>70</v>
      </c>
      <c r="G1" s="10" t="s">
        <v>71</v>
      </c>
    </row>
    <row r="2" spans="1:7" x14ac:dyDescent="0.25">
      <c r="A2" s="11" t="s">
        <v>60</v>
      </c>
      <c r="B2" s="11" t="s">
        <v>61</v>
      </c>
      <c r="C2" s="11" t="s">
        <v>72</v>
      </c>
      <c r="D2" s="15">
        <v>2</v>
      </c>
      <c r="E2" s="15">
        <v>1</v>
      </c>
      <c r="F2" s="15">
        <f>D2*E2</f>
        <v>2</v>
      </c>
      <c r="G2" s="11" t="s">
        <v>73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2" customWidth="1"/>
    <col min="4" max="4" width="16" style="13" customWidth="1"/>
    <col min="5" max="6" width="22" style="16" customWidth="1"/>
  </cols>
  <sheetData>
    <row r="1" spans="1:6" x14ac:dyDescent="0.25">
      <c r="A1" s="10" t="s">
        <v>55</v>
      </c>
      <c r="B1" s="10" t="s">
        <v>66</v>
      </c>
      <c r="C1" s="10" t="s">
        <v>67</v>
      </c>
      <c r="D1" s="14" t="s">
        <v>74</v>
      </c>
      <c r="E1" s="17" t="s">
        <v>75</v>
      </c>
      <c r="F1" s="17" t="s">
        <v>76</v>
      </c>
    </row>
    <row r="2" spans="1:6" x14ac:dyDescent="0.25">
      <c r="A2" s="11" t="s">
        <v>60</v>
      </c>
      <c r="B2" s="11" t="s">
        <v>61</v>
      </c>
      <c r="C2" s="11" t="s">
        <v>72</v>
      </c>
      <c r="D2" s="15">
        <f>IFERROR('Métré'!F2,0)</f>
        <v>2</v>
      </c>
      <c r="E2" s="18">
        <v>85000</v>
      </c>
      <c r="F2" s="18">
        <f>D2*E2</f>
        <v>170000</v>
      </c>
    </row>
    <row r="3" spans="1:6" x14ac:dyDescent="0.25">
      <c r="A3" s="3" t="s">
        <v>73</v>
      </c>
      <c r="B3" s="3" t="s">
        <v>77</v>
      </c>
      <c r="C3" s="3" t="s">
        <v>73</v>
      </c>
      <c r="D3" s="19" t="s">
        <v>73</v>
      </c>
      <c r="E3" s="20" t="s">
        <v>73</v>
      </c>
      <c r="F3" s="20">
        <f>SUM(F2:F2)</f>
        <v>170000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Couverture</vt:lpstr>
      <vt:lpstr>Hypothèses</vt:lpstr>
      <vt:lpstr>Contrôles</vt:lpstr>
      <vt:lpstr>Métré</vt:lpstr>
      <vt:lpstr>DQE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MÉTREXPERT IA PRO</dc:creator>
  <dc:title/>
  <dc:subject/>
  <dc:description/>
  <cp:keywords/>
  <cp:category/>
  <cp:lastModifiedBy>MÉTREXPERT IA PRO</cp:lastModifiedBy>
  <dcterms:created xsi:type="dcterms:W3CDTF">2026-08-27T18:42:12Z</dcterms:created>
  <dcterms:modified xsi:type="dcterms:W3CDTF">2026-08-27T18:42:12Z</dcterms:modified>
</cp:coreProperties>
</file>